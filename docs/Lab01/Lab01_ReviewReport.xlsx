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bbcluj-my.sharepoint.com/personal/maria_madalina_mera_stud_ubbcluj_ro/Documents/"/>
    </mc:Choice>
  </mc:AlternateContent>
  <xr:revisionPtr revIDLastSave="0" documentId="8_{63EF696B-C150-41CB-8AA3-7A6997D7E4E8}" xr6:coauthVersionLast="47" xr6:coauthVersionMax="47" xr10:uidLastSave="{00000000-0000-0000-0000-000000000000}"/>
  <bookViews>
    <workbookView xWindow="-108" yWindow="-108" windowWidth="23256" windowHeight="12456" tabRatio="650" firstSheet="3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<sst xmlns="http://schemas.openxmlformats.org/spreadsheetml/2006/main" count="233" uniqueCount="153">
  <si>
    <t>do not print this form</t>
  </si>
  <si>
    <t>Echipa</t>
  </si>
  <si>
    <t>Review Form. Requirements Defects</t>
  </si>
  <si>
    <t>Numele si prenumele</t>
  </si>
  <si>
    <t>Grupa</t>
  </si>
  <si>
    <t>Student 1:</t>
  </si>
  <si>
    <t>Mera Maria-Madalina</t>
  </si>
  <si>
    <t>Document  Title:</t>
  </si>
  <si>
    <t>Requirements Document</t>
  </si>
  <si>
    <t>Student 2:</t>
  </si>
  <si>
    <t>Moga Antonia-Teodora</t>
  </si>
  <si>
    <t>Author Name:</t>
  </si>
  <si>
    <t>Firicescu George</t>
  </si>
  <si>
    <t>Student 3:</t>
  </si>
  <si>
    <t>Muntean Larisa-Maria</t>
  </si>
  <si>
    <t>Reviewer Name:</t>
  </si>
  <si>
    <t xml:space="preserve">Review date: </t>
  </si>
  <si>
    <t>16.03.2026</t>
  </si>
  <si>
    <t>Crt. No.</t>
  </si>
  <si>
    <t>Checked Item</t>
  </si>
  <si>
    <t>Doc. page/line</t>
  </si>
  <si>
    <t>Comments/ improvements</t>
  </si>
  <si>
    <t>R01</t>
  </si>
  <si>
    <t>Linia 5</t>
  </si>
  <si>
    <t>Conceptul de interfata grafica "intuitiva". ar fi fost utila o descriere/schita a interfetei grafice.</t>
  </si>
  <si>
    <t>Cerinta functionala 3 (Linia 19)</t>
  </si>
  <si>
    <t>Trebuie completat cu comportamentul în situația în care se inițiază ștergerea unui tip/categorie de băutură, dacă există deja în sistem băuturi cu acel tip/categorie.</t>
  </si>
  <si>
    <t>Cerinta functionala 7 (Linia 29)</t>
  </si>
  <si>
    <t>Bonul trebuie să conțină și prețul, nu doar conținutul comenzii</t>
  </si>
  <si>
    <t>Cerinta functionala 2 (Linia 18)</t>
  </si>
  <si>
    <t>Informații incomplete despre produs: produsul trebuie să aibă, pe lângă categorie și tip, și preț, nume etc.</t>
  </si>
  <si>
    <t>R02</t>
  </si>
  <si>
    <t xml:space="preserve">Cerinte non-functionale </t>
  </si>
  <si>
    <t>Detalii despre aspectul interfetei: pagini, meniuri, culori etc.</t>
  </si>
  <si>
    <t>Detalii despre performanta: timpul de incarcare a datelor, de procesare a comenzilor etc. In general, timoul de raspuns al sistemului</t>
  </si>
  <si>
    <t>R04</t>
  </si>
  <si>
    <t>Inițializarea fișierului cu date: trebuie specificat când și unde se creează. (ex- se creează la prima rulare a programului, în directorul local)</t>
  </si>
  <si>
    <t>R05</t>
  </si>
  <si>
    <t>Lipseste comportamentul în situația în care se inițiază ștergerea unui tip/categorie de băutură, dacă există deja în sistem băuturi cu acel tip/categorie.</t>
  </si>
  <si>
    <t>R06</t>
  </si>
  <si>
    <t>Lipsesc user needs precum: timp de asteptare, unde ii vor fi salvate datele (unde gaseste fisierele)</t>
  </si>
  <si>
    <t>R07</t>
  </si>
  <si>
    <t>Cerinta non-functionala 1</t>
  </si>
  <si>
    <t>Versiunea de Java dorita</t>
  </si>
  <si>
    <t>Cerinta non-functionala 3</t>
  </si>
  <si>
    <t>Locul de salvare al fișierelor de date.</t>
  </si>
  <si>
    <t>Effort to review document (hours):</t>
  </si>
  <si>
    <t>Review Form. Architectural Design Defects</t>
  </si>
  <si>
    <t>Mera Maria-Mădălina</t>
  </si>
  <si>
    <t>Architectural Design Document</t>
  </si>
  <si>
    <t xml:space="preserve">Author Name: </t>
  </si>
  <si>
    <t>Georgescu Anca</t>
  </si>
  <si>
    <t>Mera Maria Mădălina</t>
  </si>
  <si>
    <t>A07</t>
  </si>
  <si>
    <t>Clasele sunt denumite atât în limba română, cât și în limba engleză</t>
  </si>
  <si>
    <t>Metodele pentru adăugare/ștergere sunt denumite inconsistent: uneori add/remove, alteori save/delete</t>
  </si>
  <si>
    <t>A09</t>
  </si>
  <si>
    <t>Cerința 6 (non-funcțională)</t>
  </si>
  <si>
    <t>Clasele pentru validare (OrderValidator, ProductValidator...) nu sunt folosite.</t>
  </si>
  <si>
    <t>A10</t>
  </si>
  <si>
    <t>Cerința 3</t>
  </si>
  <si>
    <t>Enum-urile CategorieBautura și TipBautura prin natura lor nu pot fi modificate. Ar fi trebuit sa fie clase.</t>
  </si>
  <si>
    <t>A03</t>
  </si>
  <si>
    <t>Cerinta 1</t>
  </si>
  <si>
    <t>Arhivarea unui produs nu este implementată</t>
  </si>
  <si>
    <t>Cerința 5</t>
  </si>
  <si>
    <t>OrderService și StocService nu au nicio legătură, deși ele trebuie să comunice pentru a actualiza stocul atunci când este creată o comandă</t>
  </si>
  <si>
    <t>A08</t>
  </si>
  <si>
    <t>DrinkingShopController "has many" Reteta (RetetaList). DrinkingShopController "has many" IngredientReteta (newRetetaList). Probabil newRetetaList e un buffer unde controllerul adună ingredientele în timp ce utilizatorul construiește o rețetă nouă. Dar asta nu e ceva ce ar trebui să facă controllerul!</t>
  </si>
  <si>
    <t>A01/A08</t>
  </si>
  <si>
    <t>DrinkingShopController "has a" Order (currentOrder). Controllerul nu ar trebui să țină comenzile. Există OrderService pentru așa ceva + nu e stateless.</t>
  </si>
  <si>
    <t>DrinkingShopController "has many" OrderItem(currentOrderItems), DrinkingShopController "has a" Order (currentOrder). Order "has many" OrderItem(items) =&gt; Redunant</t>
  </si>
  <si>
    <t>A01</t>
  </si>
  <si>
    <t>Atributele unor clase  (ex. Product, OrderItem etc.) se repetă cu și fără modificatori de acces.</t>
  </si>
  <si>
    <t>0.7</t>
  </si>
  <si>
    <t>Review Form. Coding Defects</t>
  </si>
  <si>
    <t>Coding Document</t>
  </si>
  <si>
    <t>Popescu Ionel</t>
  </si>
  <si>
    <t>14.03.2026</t>
  </si>
  <si>
    <t>C06</t>
  </si>
  <si>
    <t>Order.java.66</t>
  </si>
  <si>
    <t>Missing null check for 'items'. Improvement: add if(items == null) to prevent NPE</t>
  </si>
  <si>
    <t>C04</t>
  </si>
  <si>
    <t>CsvExporter.22</t>
  </si>
  <si>
    <t>I/O format error: Missing CSV escaping. Improvement: add quote doubling</t>
  </si>
  <si>
    <t>C01</t>
  </si>
  <si>
    <t>CsvExporter.java:21</t>
  </si>
  <si>
    <t>Unsafe access toList().get(0) throws exception if empty. Replace with findFirst()</t>
  </si>
  <si>
    <t>C08</t>
  </si>
  <si>
    <t>CsvExporter.java:31</t>
  </si>
  <si>
    <t>Poor exception handling. Add clear error message instead of raw RuntimeException.</t>
  </si>
  <si>
    <t>ReceiptGenerator.java:14</t>
  </si>
  <si>
    <t>Unsafe access toList().get(0) throws exception if empty. Replace with findFirst().</t>
  </si>
  <si>
    <t>ReceiptGenerator.java:10</t>
  </si>
  <si>
    <t>Missing null validation for inputs (Order, products). Add guard clauses to prevent NPE.</t>
  </si>
  <si>
    <t>Repository.java:7</t>
  </si>
  <si>
    <t>Method findOne returns raw E, risking NPE. Improvement: Change to Optional&lt;E&gt; to enforce null safety.</t>
  </si>
  <si>
    <t>AbstractRepository.java:18</t>
  </si>
  <si>
    <t>Update findOne implementation to return Optional.ofNullable(entities.get(id)).</t>
  </si>
  <si>
    <t>FileAbstractRepository.java:12</t>
  </si>
  <si>
    <t>Missing validation for 'fileName' input. Add guard clause to prevent null or empty strings</t>
  </si>
  <si>
    <t>FileAbstractRepository.java:27</t>
  </si>
  <si>
    <t>Poor error handling in loadFromFile(). e.printStackTrace() swallows errors. Throw RuntimeException</t>
  </si>
  <si>
    <t>FileAbstractRepository.java:40</t>
  </si>
  <si>
    <t>Poor error handling in writeToFile(). e.printStackTrace() swallows errors. Throw RuntimeException</t>
  </si>
  <si>
    <t>FileOrderRepository.java:44</t>
  </si>
  <si>
    <t>findOne() now returns Optional. Must unwrap it using .orElseThrow() to compile and ensure data integrity.</t>
  </si>
  <si>
    <t>FileOrderRepository.java:31</t>
  </si>
  <si>
    <t>Missing length validation for 'parts' array. Add check to prevent ArrayIndexOutOfBoundsException on corrupted files.</t>
  </si>
  <si>
    <t>FileOrderRepository.java:17</t>
  </si>
  <si>
    <t>Missing null validation for 'productRepository'. Add guard clause to prevent NPE in constructor</t>
  </si>
  <si>
    <t>StocService.java:42, 63</t>
  </si>
  <si>
    <t>Inefficient logic: findAll() is called inside a loop. Fetch all stocks once outside the loop</t>
  </si>
  <si>
    <t>C12</t>
  </si>
  <si>
    <t>StocService.java:73</t>
  </si>
  <si>
    <t>Type mismatch/precision loss: casting double to int during subtraction. Ensure types match.</t>
  </si>
  <si>
    <t>FileAbstractRepository.java:16</t>
  </si>
  <si>
    <t>loadFromFile() is commented</t>
  </si>
  <si>
    <t>Tool-based Code Analysis</t>
  </si>
  <si>
    <t>Tool used:</t>
  </si>
  <si>
    <t>17.03.2026</t>
  </si>
  <si>
    <t>File, Line</t>
  </si>
  <si>
    <t>Issue</t>
  </si>
  <si>
    <t>Before</t>
  </si>
  <si>
    <t>After/Argument</t>
  </si>
  <si>
    <t>FileOrderRepository.java, line 68</t>
  </si>
  <si>
    <t>"String.isEmpty()" should be used to test for emptiness</t>
  </si>
  <si>
    <t>if (sb.length() &gt; 0)</t>
  </si>
  <si>
    <t>if (!sb.isEmpty())</t>
  </si>
  <si>
    <t xml:space="preserve">DailyReportService.java, lines 22-23 </t>
  </si>
  <si>
    <t>Sections of code should not be commented out</t>
  </si>
  <si>
    <t xml:space="preserve">    public int getTotalOrders() {
//        List&lt;Order&gt; orders = StreamSupport.stream(repo.findAll().spliterator(), false)
//                .collect(Collectors.toList());
        return repo.findAll().size();
    }</t>
  </si>
  <si>
    <t>public int getTotalOrders() {
        return repo.findAll().size();
    }</t>
  </si>
  <si>
    <t>DailyReportService.java, lines 6,7,8</t>
  </si>
  <si>
    <t>Unnecessary imports should be removed</t>
  </si>
  <si>
    <t>import java.util.List;
import java.util.stream.Collectors;
import java.util.stream.StreamSupport;</t>
  </si>
  <si>
    <t>-</t>
  </si>
  <si>
    <t>ReceiptGenerator.java, line 9</t>
  </si>
  <si>
    <t xml:space="preserve">Utility classes should not have public constructor  </t>
  </si>
  <si>
    <t>public class ReceiptGenerator {
    public static String generate(Order o, List&lt;Product&gt; products) {....}}</t>
  </si>
  <si>
    <t>public class ReceiptGenerator {
    private ReceiptGenerator() {}
    ....}</t>
  </si>
  <si>
    <t>CsvExporter.java, line 40</t>
  </si>
  <si>
    <t>Generic exceptions should never be thrown</t>
  </si>
  <si>
    <t>catch (IOException e) {
            throw new RuntimeException("Error exporting orders to CSV file at path: " + path, e);
        }</t>
  </si>
  <si>
    <t xml:space="preserve"> catch (IOException e) {
            throw new IOException("Error exporting orders to CSV file at path: " + path, e);
        }</t>
  </si>
  <si>
    <t>ProductTest.java, line 29</t>
  </si>
  <si>
    <t>Tests should include assertions</t>
  </si>
  <si>
    <t>@Test
    void getNume() {
        assert "Limonada".equals(product.getNume());
    }</t>
  </si>
  <si>
    <t>@Test
    void getNume() {
        assertEquals("Limonada", product.getNume(), "The product name should match the expected value.");
    }</t>
  </si>
  <si>
    <t>DrinkShopController.java, line 26</t>
  </si>
  <si>
    <t>Multiple variables should not be declared on the same line</t>
  </si>
  <si>
    <t>This doesn't really affect code readability.</t>
  </si>
  <si>
    <t>Effort to perform tool-based code analysis (hours):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</si>
</sst>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000000"/>
      <name val="Calibri"/>
      <scheme val="minor"/>
    </font>
    <font>
      <i/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3" fillId="3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/>
    <xf numFmtId="0" fontId="4" fillId="0" borderId="0" xfId="0" applyFont="1"/>
    <xf numFmtId="0" fontId="1" fillId="0" borderId="0" xfId="0" applyFont="1"/>
    <xf numFmtId="0" fontId="8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0" fontId="7" fillId="3" borderId="2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workbookViewId="0">
      <selection activeCell="G8" sqref="G8"/>
    </sheetView>
  </sheetViews>
  <sheetFormatPr defaultColWidth="8.85546875" defaultRowHeight="14.45"/>
  <cols>
    <col min="1" max="1" width="8.85546875" style="5"/>
    <col min="2" max="2" width="12.28515625" style="5" customWidth="1"/>
    <col min="3" max="4" width="16.28515625" style="5" customWidth="1"/>
    <col min="5" max="5" width="41.42578125" style="5" customWidth="1"/>
    <col min="6" max="8" width="8.85546875" style="5"/>
    <col min="9" max="9" width="21" style="5" customWidth="1"/>
    <col min="10" max="10" width="14.42578125" style="5" customWidth="1"/>
    <col min="11" max="16384" width="8.85546875" style="5"/>
  </cols>
  <sheetData>
    <row r="1" spans="1:10" ht="15.6">
      <c r="A1" s="3"/>
      <c r="B1" s="4" t="s">
        <v>0</v>
      </c>
      <c r="C1" s="16"/>
      <c r="D1" s="16"/>
      <c r="E1" s="16"/>
      <c r="F1" s="16"/>
      <c r="G1" s="16"/>
      <c r="H1" s="24" t="s">
        <v>1</v>
      </c>
      <c r="I1" s="24"/>
      <c r="J1" s="24"/>
    </row>
    <row r="2" spans="1:10">
      <c r="A2" s="16"/>
      <c r="B2" s="25" t="s">
        <v>2</v>
      </c>
      <c r="C2" s="25"/>
      <c r="D2" s="25"/>
      <c r="E2" s="25"/>
      <c r="F2" s="16"/>
      <c r="G2" s="16"/>
      <c r="H2" s="18"/>
      <c r="I2" s="18" t="s">
        <v>3</v>
      </c>
      <c r="J2" s="18" t="s">
        <v>4</v>
      </c>
    </row>
    <row r="3" spans="1:10">
      <c r="A3" s="16"/>
      <c r="B3" s="16"/>
      <c r="C3" s="16"/>
      <c r="D3" s="16"/>
      <c r="E3" s="16"/>
      <c r="F3" s="16"/>
      <c r="G3" s="16"/>
      <c r="H3" s="18" t="s">
        <v>5</v>
      </c>
      <c r="I3" s="18" t="s">
        <v>6</v>
      </c>
      <c r="J3" s="18">
        <v>234</v>
      </c>
    </row>
    <row r="4" spans="1:10">
      <c r="A4" s="16"/>
      <c r="B4" s="16"/>
      <c r="C4" s="12" t="s">
        <v>7</v>
      </c>
      <c r="D4" s="26" t="s">
        <v>8</v>
      </c>
      <c r="E4" s="26"/>
      <c r="F4" s="16"/>
      <c r="G4" s="16"/>
      <c r="H4" s="18" t="s">
        <v>9</v>
      </c>
      <c r="I4" s="19" t="s">
        <v>10</v>
      </c>
      <c r="J4" s="18">
        <v>234</v>
      </c>
    </row>
    <row r="5" spans="1:10">
      <c r="A5" s="16"/>
      <c r="B5" s="16"/>
      <c r="C5" s="12" t="s">
        <v>11</v>
      </c>
      <c r="D5" s="27" t="s">
        <v>12</v>
      </c>
      <c r="E5" s="28"/>
      <c r="F5" s="16"/>
      <c r="G5" s="16"/>
      <c r="H5" s="18" t="s">
        <v>13</v>
      </c>
      <c r="I5" s="18" t="s">
        <v>14</v>
      </c>
      <c r="J5" s="18">
        <v>234</v>
      </c>
    </row>
    <row r="6" spans="1:10">
      <c r="A6" s="16"/>
      <c r="B6" s="7"/>
      <c r="C6" s="8" t="s">
        <v>15</v>
      </c>
      <c r="D6" s="23" t="s">
        <v>14</v>
      </c>
      <c r="E6" s="23"/>
      <c r="F6" s="16"/>
      <c r="G6" s="16"/>
      <c r="H6" s="16"/>
      <c r="I6" s="16"/>
      <c r="J6" s="16"/>
    </row>
    <row r="7" spans="1:10">
      <c r="A7" s="16"/>
      <c r="B7" s="16"/>
      <c r="C7" s="8" t="s">
        <v>16</v>
      </c>
      <c r="D7" s="23" t="s">
        <v>17</v>
      </c>
      <c r="E7" s="23"/>
      <c r="F7" s="16"/>
      <c r="G7" s="16"/>
      <c r="H7" s="16"/>
      <c r="I7" s="16"/>
      <c r="J7" s="16"/>
    </row>
    <row r="9" spans="1:10">
      <c r="A9" s="16"/>
      <c r="B9" s="9" t="s">
        <v>18</v>
      </c>
      <c r="C9" s="9" t="s">
        <v>19</v>
      </c>
      <c r="D9" s="9" t="s">
        <v>20</v>
      </c>
      <c r="E9" s="13" t="s">
        <v>21</v>
      </c>
      <c r="F9" s="16"/>
      <c r="G9" s="16"/>
      <c r="H9" s="16"/>
      <c r="I9" s="16"/>
      <c r="J9" s="16"/>
    </row>
    <row r="10" spans="1:10" ht="28.9">
      <c r="A10" s="16"/>
      <c r="B10" s="18">
        <v>1</v>
      </c>
      <c r="C10" s="1" t="s">
        <v>22</v>
      </c>
      <c r="D10" s="1" t="s">
        <v>23</v>
      </c>
      <c r="E10" s="2" t="s">
        <v>24</v>
      </c>
      <c r="F10" s="16"/>
      <c r="G10" s="16"/>
      <c r="H10" s="16"/>
      <c r="I10" s="16"/>
      <c r="J10" s="16"/>
    </row>
    <row r="11" spans="1:10" ht="57.6">
      <c r="A11" s="16"/>
      <c r="B11" s="18">
        <f>B10+1</f>
        <v>2</v>
      </c>
      <c r="C11" s="1" t="s">
        <v>22</v>
      </c>
      <c r="D11" s="2" t="s">
        <v>25</v>
      </c>
      <c r="E11" s="2" t="s">
        <v>26</v>
      </c>
      <c r="F11" s="16"/>
      <c r="G11" s="16"/>
      <c r="H11" s="16"/>
      <c r="I11" s="16"/>
      <c r="J11" s="16"/>
    </row>
    <row r="12" spans="1:10" ht="43.15">
      <c r="A12" s="16"/>
      <c r="B12" s="18">
        <f t="shared" ref="B12:B21" si="0">B11+1</f>
        <v>3</v>
      </c>
      <c r="C12" s="1" t="s">
        <v>22</v>
      </c>
      <c r="D12" s="2" t="s">
        <v>27</v>
      </c>
      <c r="E12" s="2" t="s">
        <v>28</v>
      </c>
      <c r="F12" s="16"/>
      <c r="G12" s="16"/>
      <c r="H12" s="16"/>
      <c r="I12" s="16"/>
      <c r="J12" s="16"/>
    </row>
    <row r="13" spans="1:10" ht="43.15">
      <c r="A13" s="16"/>
      <c r="B13" s="18">
        <f t="shared" si="0"/>
        <v>4</v>
      </c>
      <c r="C13" s="1" t="s">
        <v>22</v>
      </c>
      <c r="D13" s="2" t="s">
        <v>29</v>
      </c>
      <c r="E13" s="2" t="s">
        <v>30</v>
      </c>
      <c r="F13" s="16"/>
      <c r="G13" s="16"/>
      <c r="H13" s="16"/>
      <c r="I13" s="16"/>
      <c r="J13" s="16"/>
    </row>
    <row r="14" spans="1:10" ht="28.9">
      <c r="A14" s="16"/>
      <c r="B14" s="18">
        <f t="shared" si="0"/>
        <v>5</v>
      </c>
      <c r="C14" s="1" t="s">
        <v>31</v>
      </c>
      <c r="D14" s="2" t="s">
        <v>32</v>
      </c>
      <c r="E14" s="2" t="s">
        <v>33</v>
      </c>
      <c r="F14" s="16"/>
      <c r="G14" s="16"/>
      <c r="H14" s="16"/>
      <c r="I14" s="16"/>
      <c r="J14" s="16"/>
    </row>
    <row r="15" spans="1:10" ht="43.15">
      <c r="A15" s="16"/>
      <c r="B15" s="18">
        <f t="shared" si="0"/>
        <v>6</v>
      </c>
      <c r="C15" s="1" t="s">
        <v>31</v>
      </c>
      <c r="D15" s="2" t="s">
        <v>32</v>
      </c>
      <c r="E15" s="2" t="s">
        <v>34</v>
      </c>
      <c r="F15" s="16"/>
      <c r="G15" s="16"/>
      <c r="H15" s="16"/>
      <c r="I15" s="16"/>
      <c r="J15" s="16"/>
    </row>
    <row r="16" spans="1:10" ht="43.15">
      <c r="A16" s="16"/>
      <c r="B16" s="18">
        <f t="shared" si="0"/>
        <v>7</v>
      </c>
      <c r="C16" s="1" t="s">
        <v>35</v>
      </c>
      <c r="D16" s="2" t="s">
        <v>32</v>
      </c>
      <c r="E16" s="20" t="s">
        <v>36</v>
      </c>
      <c r="F16" s="16"/>
      <c r="G16" s="16"/>
      <c r="H16" s="16"/>
      <c r="I16" s="16"/>
      <c r="J16" s="16"/>
    </row>
    <row r="17" spans="1:10" ht="43.15">
      <c r="A17" s="16"/>
      <c r="B17" s="18">
        <f t="shared" si="0"/>
        <v>8</v>
      </c>
      <c r="C17" s="1" t="s">
        <v>37</v>
      </c>
      <c r="D17" s="2" t="s">
        <v>27</v>
      </c>
      <c r="E17" s="2" t="s">
        <v>30</v>
      </c>
      <c r="F17" s="16"/>
      <c r="G17" s="16"/>
      <c r="H17" s="16"/>
      <c r="I17" s="16"/>
      <c r="J17" s="16"/>
    </row>
    <row r="18" spans="1:10" ht="57.6">
      <c r="A18" s="16"/>
      <c r="B18" s="18">
        <f t="shared" si="0"/>
        <v>9</v>
      </c>
      <c r="C18" s="18" t="s">
        <v>37</v>
      </c>
      <c r="D18" s="19" t="s">
        <v>25</v>
      </c>
      <c r="E18" s="19" t="s">
        <v>38</v>
      </c>
      <c r="F18" s="16"/>
      <c r="G18" s="16"/>
      <c r="H18" s="16"/>
      <c r="I18" s="16"/>
      <c r="J18" s="16"/>
    </row>
    <row r="19" spans="1:10" ht="43.15">
      <c r="A19" s="16"/>
      <c r="B19" s="18">
        <f t="shared" si="0"/>
        <v>10</v>
      </c>
      <c r="C19" s="18" t="s">
        <v>39</v>
      </c>
      <c r="D19" s="19" t="s">
        <v>32</v>
      </c>
      <c r="E19" s="19" t="s">
        <v>40</v>
      </c>
      <c r="F19" s="16"/>
      <c r="G19" s="16"/>
      <c r="H19" s="16"/>
      <c r="I19" s="16"/>
      <c r="J19" s="16"/>
    </row>
    <row r="20" spans="1:10" ht="28.9">
      <c r="A20" s="16"/>
      <c r="B20" s="18">
        <f t="shared" si="0"/>
        <v>11</v>
      </c>
      <c r="C20" s="18" t="s">
        <v>41</v>
      </c>
      <c r="D20" s="19" t="s">
        <v>42</v>
      </c>
      <c r="E20" s="19" t="s">
        <v>43</v>
      </c>
      <c r="F20" s="16"/>
      <c r="G20" s="16"/>
      <c r="H20" s="16"/>
      <c r="I20" s="16"/>
      <c r="J20" s="16"/>
    </row>
    <row r="21" spans="1:10" ht="28.9">
      <c r="A21" s="16"/>
      <c r="B21" s="18">
        <f t="shared" si="0"/>
        <v>12</v>
      </c>
      <c r="C21" s="18" t="s">
        <v>41</v>
      </c>
      <c r="D21" s="19" t="s">
        <v>44</v>
      </c>
      <c r="E21" s="19" t="s">
        <v>45</v>
      </c>
      <c r="F21" s="16"/>
      <c r="G21" s="16"/>
      <c r="H21" s="16"/>
      <c r="I21" s="16"/>
      <c r="J21" s="16"/>
    </row>
    <row r="23" spans="1:10">
      <c r="A23" s="16"/>
      <c r="B23" s="16"/>
      <c r="C23" s="10" t="s">
        <v>46</v>
      </c>
      <c r="D23" s="11"/>
      <c r="E23" s="1">
        <v>0.6</v>
      </c>
      <c r="F23" s="16"/>
      <c r="G23" s="16"/>
      <c r="H23" s="16"/>
      <c r="I23" s="16"/>
      <c r="J23" s="16"/>
    </row>
    <row r="24" spans="1:10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>
      <c r="A25" s="16"/>
      <c r="B25" s="16"/>
      <c r="C25" s="16"/>
      <c r="D25" s="16"/>
      <c r="E25" s="16"/>
      <c r="F25" s="16"/>
      <c r="G25" s="16"/>
      <c r="H25" s="16"/>
      <c r="I25" s="16"/>
      <c r="J25" s="16"/>
    </row>
    <row r="26" spans="1:10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 spans="1:10">
      <c r="A27" s="16"/>
      <c r="B27" s="16"/>
      <c r="C27" s="16"/>
      <c r="D27" s="16"/>
      <c r="E27" s="16"/>
      <c r="F27" s="16"/>
      <c r="G27" s="16"/>
      <c r="H27" s="16"/>
      <c r="I27" s="16"/>
      <c r="J27" s="16"/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H24" sqref="H24"/>
    </sheetView>
  </sheetViews>
  <sheetFormatPr defaultColWidth="8.85546875" defaultRowHeight="14.45"/>
  <cols>
    <col min="1" max="1" width="8.85546875" style="5"/>
    <col min="2" max="2" width="12.28515625" style="5" customWidth="1"/>
    <col min="3" max="4" width="16.28515625" style="5" customWidth="1"/>
    <col min="5" max="5" width="41.42578125" style="5" customWidth="1"/>
    <col min="6" max="8" width="8.85546875" style="5"/>
    <col min="9" max="9" width="22.140625" style="5" customWidth="1"/>
    <col min="10" max="16384" width="8.85546875" style="5"/>
  </cols>
  <sheetData>
    <row r="1" spans="1:10" ht="15.6">
      <c r="A1" s="3"/>
      <c r="B1" s="4" t="s">
        <v>0</v>
      </c>
      <c r="C1" s="16"/>
      <c r="D1" s="16"/>
      <c r="E1" s="16"/>
      <c r="F1" s="16"/>
      <c r="G1" s="16"/>
      <c r="H1" s="24" t="s">
        <v>1</v>
      </c>
      <c r="I1" s="24"/>
      <c r="J1" s="24"/>
    </row>
    <row r="2" spans="1:10">
      <c r="A2" s="16"/>
      <c r="B2" s="25" t="s">
        <v>47</v>
      </c>
      <c r="C2" s="25"/>
      <c r="D2" s="25"/>
      <c r="E2" s="25"/>
      <c r="F2" s="16"/>
      <c r="G2" s="16"/>
      <c r="H2" s="18"/>
      <c r="I2" s="18" t="s">
        <v>3</v>
      </c>
      <c r="J2" s="18" t="s">
        <v>4</v>
      </c>
    </row>
    <row r="3" spans="1:10">
      <c r="A3" s="16"/>
      <c r="B3" s="16"/>
      <c r="C3" s="16"/>
      <c r="D3" s="16"/>
      <c r="E3" s="16"/>
      <c r="F3" s="16"/>
      <c r="G3" s="16"/>
      <c r="H3" s="18" t="s">
        <v>5</v>
      </c>
      <c r="I3" s="18" t="s">
        <v>48</v>
      </c>
      <c r="J3" s="18">
        <v>234</v>
      </c>
    </row>
    <row r="4" spans="1:10">
      <c r="A4" s="16"/>
      <c r="B4" s="16"/>
      <c r="C4" s="6" t="s">
        <v>7</v>
      </c>
      <c r="D4" s="29" t="s">
        <v>49</v>
      </c>
      <c r="E4" s="29"/>
      <c r="F4" s="16"/>
      <c r="G4" s="16"/>
      <c r="H4" s="18" t="s">
        <v>9</v>
      </c>
      <c r="I4" s="18" t="s">
        <v>10</v>
      </c>
      <c r="J4" s="18">
        <v>234</v>
      </c>
    </row>
    <row r="5" spans="1:10">
      <c r="A5" s="16"/>
      <c r="B5" s="16"/>
      <c r="C5" s="6" t="s">
        <v>50</v>
      </c>
      <c r="D5" s="31" t="s">
        <v>51</v>
      </c>
      <c r="E5" s="32"/>
      <c r="F5" s="16"/>
      <c r="G5" s="16"/>
      <c r="H5" s="18" t="s">
        <v>13</v>
      </c>
      <c r="I5" s="18" t="s">
        <v>14</v>
      </c>
      <c r="J5" s="18">
        <v>234</v>
      </c>
    </row>
    <row r="6" spans="1:10">
      <c r="A6" s="16"/>
      <c r="B6" s="7"/>
      <c r="C6" s="8" t="s">
        <v>15</v>
      </c>
      <c r="D6" s="23" t="s">
        <v>52</v>
      </c>
      <c r="E6" s="23"/>
      <c r="F6" s="16"/>
      <c r="G6" s="16"/>
      <c r="H6" s="16"/>
      <c r="I6" s="16"/>
      <c r="J6" s="16"/>
    </row>
    <row r="7" spans="1:10">
      <c r="A7" s="16"/>
      <c r="B7" s="16"/>
      <c r="C7" s="8" t="s">
        <v>16</v>
      </c>
      <c r="D7" s="30">
        <v>46097</v>
      </c>
      <c r="E7" s="23"/>
      <c r="F7" s="16"/>
      <c r="G7" s="16"/>
      <c r="H7" s="16"/>
      <c r="I7" s="16"/>
      <c r="J7" s="16"/>
    </row>
    <row r="9" spans="1:10">
      <c r="A9" s="16"/>
      <c r="B9" s="9" t="s">
        <v>18</v>
      </c>
      <c r="C9" s="9" t="s">
        <v>19</v>
      </c>
      <c r="D9" s="9" t="s">
        <v>20</v>
      </c>
      <c r="E9" s="9" t="s">
        <v>21</v>
      </c>
      <c r="F9" s="16"/>
      <c r="G9" s="16"/>
      <c r="H9" s="16"/>
      <c r="I9" s="16"/>
      <c r="J9" s="16"/>
    </row>
    <row r="10" spans="1:10" ht="28.9">
      <c r="A10" s="16"/>
      <c r="B10" s="18">
        <v>1</v>
      </c>
      <c r="C10" s="21" t="s">
        <v>53</v>
      </c>
      <c r="D10" s="22"/>
      <c r="E10" s="22" t="s">
        <v>54</v>
      </c>
      <c r="F10" s="16"/>
      <c r="G10" s="16"/>
      <c r="H10" s="16"/>
      <c r="I10" s="16"/>
      <c r="J10" s="16"/>
    </row>
    <row r="11" spans="1:10" ht="43.15">
      <c r="A11" s="16"/>
      <c r="B11" s="18">
        <f>B10+1</f>
        <v>2</v>
      </c>
      <c r="C11" s="21" t="s">
        <v>53</v>
      </c>
      <c r="D11" s="22"/>
      <c r="E11" s="22" t="s">
        <v>55</v>
      </c>
      <c r="F11" s="16"/>
      <c r="G11" s="16"/>
      <c r="H11" s="16"/>
      <c r="I11" s="16"/>
      <c r="J11" s="16"/>
    </row>
    <row r="12" spans="1:10" ht="28.9">
      <c r="A12" s="16"/>
      <c r="B12" s="18">
        <f t="shared" ref="B12:B26" si="0">B11+1</f>
        <v>3</v>
      </c>
      <c r="C12" s="1" t="s">
        <v>56</v>
      </c>
      <c r="D12" s="2" t="s">
        <v>57</v>
      </c>
      <c r="E12" s="2" t="s">
        <v>58</v>
      </c>
      <c r="F12" s="16"/>
      <c r="G12" s="16"/>
      <c r="H12" s="16"/>
      <c r="I12" s="16"/>
      <c r="J12" s="16"/>
    </row>
    <row r="13" spans="1:10" ht="43.15">
      <c r="A13" s="16"/>
      <c r="B13" s="18">
        <f t="shared" si="0"/>
        <v>4</v>
      </c>
      <c r="C13" s="1" t="s">
        <v>59</v>
      </c>
      <c r="D13" s="1" t="s">
        <v>60</v>
      </c>
      <c r="E13" s="2" t="s">
        <v>61</v>
      </c>
      <c r="F13" s="16"/>
      <c r="G13" s="16"/>
      <c r="H13" s="16"/>
      <c r="I13" s="16"/>
      <c r="J13" s="16"/>
    </row>
    <row r="14" spans="1:10">
      <c r="A14" s="16"/>
      <c r="B14" s="18">
        <f t="shared" si="0"/>
        <v>5</v>
      </c>
      <c r="C14" s="1" t="s">
        <v>62</v>
      </c>
      <c r="D14" s="2" t="s">
        <v>63</v>
      </c>
      <c r="E14" s="2" t="s">
        <v>64</v>
      </c>
      <c r="F14" s="16"/>
      <c r="G14" s="16"/>
      <c r="H14" s="16"/>
      <c r="I14" s="16"/>
      <c r="J14" s="16"/>
    </row>
    <row r="15" spans="1:10" ht="43.15">
      <c r="A15" s="16"/>
      <c r="B15" s="18">
        <f t="shared" si="0"/>
        <v>6</v>
      </c>
      <c r="C15" s="1" t="s">
        <v>59</v>
      </c>
      <c r="D15" s="1" t="s">
        <v>65</v>
      </c>
      <c r="E15" s="2" t="s">
        <v>66</v>
      </c>
      <c r="F15" s="16"/>
      <c r="G15" s="16"/>
      <c r="H15" s="16"/>
      <c r="I15" s="16"/>
      <c r="J15" s="16"/>
    </row>
    <row r="16" spans="1:10" ht="100.9">
      <c r="A16" s="16"/>
      <c r="B16" s="18">
        <f t="shared" si="0"/>
        <v>7</v>
      </c>
      <c r="C16" s="1" t="s">
        <v>67</v>
      </c>
      <c r="D16" s="2" t="s">
        <v>57</v>
      </c>
      <c r="E16" s="2" t="s">
        <v>68</v>
      </c>
      <c r="F16" s="16"/>
      <c r="G16" s="16"/>
      <c r="H16" s="16"/>
      <c r="I16" s="16"/>
      <c r="J16" s="16"/>
    </row>
    <row r="17" spans="2:5" ht="57.6">
      <c r="B17" s="18">
        <f t="shared" si="0"/>
        <v>8</v>
      </c>
      <c r="C17" s="1" t="s">
        <v>69</v>
      </c>
      <c r="D17" s="2"/>
      <c r="E17" s="2" t="s">
        <v>70</v>
      </c>
    </row>
    <row r="18" spans="2:5" ht="72">
      <c r="B18" s="18">
        <f t="shared" si="0"/>
        <v>9</v>
      </c>
      <c r="C18" s="1" t="s">
        <v>67</v>
      </c>
      <c r="D18" s="1"/>
      <c r="E18" s="2" t="s">
        <v>71</v>
      </c>
    </row>
    <row r="19" spans="2:5" ht="28.9">
      <c r="B19" s="18">
        <f t="shared" si="0"/>
        <v>10</v>
      </c>
      <c r="C19" s="1" t="s">
        <v>72</v>
      </c>
      <c r="D19" s="2"/>
      <c r="E19" s="2" t="s">
        <v>73</v>
      </c>
    </row>
    <row r="20" spans="2:5">
      <c r="B20" s="18">
        <f t="shared" si="0"/>
        <v>11</v>
      </c>
      <c r="C20" s="1"/>
      <c r="D20" s="1"/>
      <c r="E20" s="2"/>
    </row>
    <row r="21" spans="2:5">
      <c r="B21" s="18">
        <f t="shared" si="0"/>
        <v>12</v>
      </c>
      <c r="C21" s="1"/>
      <c r="D21" s="1"/>
      <c r="E21" s="2"/>
    </row>
    <row r="22" spans="2:5">
      <c r="B22" s="18">
        <f t="shared" si="0"/>
        <v>13</v>
      </c>
      <c r="C22" s="1"/>
      <c r="D22" s="1"/>
      <c r="E22" s="2"/>
    </row>
    <row r="23" spans="2:5">
      <c r="B23" s="18">
        <f t="shared" si="0"/>
        <v>14</v>
      </c>
      <c r="C23" s="1"/>
      <c r="D23" s="1"/>
      <c r="E23" s="2"/>
    </row>
    <row r="24" spans="2:5">
      <c r="B24" s="18">
        <f t="shared" si="0"/>
        <v>15</v>
      </c>
      <c r="C24" s="1"/>
      <c r="D24" s="1"/>
      <c r="E24" s="2"/>
    </row>
    <row r="25" spans="2:5">
      <c r="B25" s="18">
        <f t="shared" si="0"/>
        <v>16</v>
      </c>
      <c r="C25" s="1"/>
      <c r="D25" s="1"/>
      <c r="E25" s="2"/>
    </row>
    <row r="26" spans="2:5">
      <c r="B26" s="18">
        <f t="shared" si="0"/>
        <v>17</v>
      </c>
      <c r="C26" s="1"/>
      <c r="D26" s="1"/>
      <c r="E26" s="2"/>
    </row>
    <row r="28" spans="2:5">
      <c r="B28" s="16"/>
      <c r="C28" s="10" t="s">
        <v>46</v>
      </c>
      <c r="D28" s="11"/>
      <c r="E28" s="1" t="s">
        <v>74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workbookViewId="0">
      <selection activeCell="I5" sqref="I5"/>
    </sheetView>
  </sheetViews>
  <sheetFormatPr defaultColWidth="8.85546875" defaultRowHeight="14.45"/>
  <cols>
    <col min="1" max="1" width="8.85546875" style="5"/>
    <col min="2" max="2" width="12.28515625" style="5" customWidth="1"/>
    <col min="3" max="3" width="16.28515625" style="5" customWidth="1"/>
    <col min="4" max="4" width="26.7109375" style="5" customWidth="1"/>
    <col min="5" max="5" width="41.42578125" style="5" customWidth="1"/>
    <col min="6" max="8" width="8.85546875" style="5"/>
    <col min="9" max="9" width="26.7109375" style="5" customWidth="1"/>
    <col min="10" max="16384" width="8.85546875" style="5"/>
  </cols>
  <sheetData>
    <row r="1" spans="1:10" ht="15.6">
      <c r="A1" s="3"/>
      <c r="B1" s="4" t="s">
        <v>0</v>
      </c>
      <c r="C1" s="16"/>
      <c r="D1" s="16"/>
      <c r="E1" s="16"/>
      <c r="F1" s="16"/>
      <c r="G1" s="16"/>
      <c r="H1" s="24" t="s">
        <v>1</v>
      </c>
      <c r="I1" s="24"/>
      <c r="J1" s="24"/>
    </row>
    <row r="2" spans="1:10">
      <c r="A2" s="16"/>
      <c r="B2" s="25" t="s">
        <v>75</v>
      </c>
      <c r="C2" s="25"/>
      <c r="D2" s="25"/>
      <c r="E2" s="25"/>
      <c r="F2" s="16"/>
      <c r="G2" s="16"/>
      <c r="H2" s="18"/>
      <c r="I2" s="18" t="s">
        <v>3</v>
      </c>
      <c r="J2" s="18" t="s">
        <v>4</v>
      </c>
    </row>
    <row r="3" spans="1:10">
      <c r="A3" s="16"/>
      <c r="B3" s="16"/>
      <c r="C3" s="16"/>
      <c r="D3" s="16"/>
      <c r="E3" s="16"/>
      <c r="F3" s="16"/>
      <c r="G3" s="16"/>
      <c r="H3" s="18" t="s">
        <v>5</v>
      </c>
      <c r="I3" s="18" t="s">
        <v>48</v>
      </c>
      <c r="J3" s="18">
        <v>234</v>
      </c>
    </row>
    <row r="4" spans="1:10">
      <c r="A4" s="16"/>
      <c r="B4" s="16"/>
      <c r="C4" s="14" t="s">
        <v>7</v>
      </c>
      <c r="D4" s="33" t="s">
        <v>76</v>
      </c>
      <c r="E4" s="33"/>
      <c r="F4" s="16"/>
      <c r="G4" s="16"/>
      <c r="H4" s="18" t="s">
        <v>9</v>
      </c>
      <c r="I4" s="18" t="s">
        <v>10</v>
      </c>
      <c r="J4" s="18">
        <v>234</v>
      </c>
    </row>
    <row r="5" spans="1:10">
      <c r="A5" s="16"/>
      <c r="B5" s="16"/>
      <c r="C5" s="14" t="s">
        <v>11</v>
      </c>
      <c r="D5" s="34" t="s">
        <v>77</v>
      </c>
      <c r="E5" s="35"/>
      <c r="F5" s="16"/>
      <c r="G5" s="16"/>
      <c r="H5" s="18" t="s">
        <v>13</v>
      </c>
      <c r="I5" s="18" t="s">
        <v>14</v>
      </c>
      <c r="J5" s="18">
        <v>234</v>
      </c>
    </row>
    <row r="6" spans="1:10">
      <c r="A6" s="16"/>
      <c r="B6" s="7"/>
      <c r="C6" s="8" t="s">
        <v>15</v>
      </c>
      <c r="D6" s="23" t="s">
        <v>10</v>
      </c>
      <c r="E6" s="23"/>
      <c r="F6" s="16"/>
      <c r="G6" s="16"/>
      <c r="H6" s="16"/>
      <c r="I6" s="16"/>
      <c r="J6" s="16"/>
    </row>
    <row r="7" spans="1:10">
      <c r="A7" s="16"/>
      <c r="B7" s="16"/>
      <c r="C7" s="8" t="s">
        <v>16</v>
      </c>
      <c r="D7" s="23" t="s">
        <v>78</v>
      </c>
      <c r="E7" s="23"/>
      <c r="F7" s="16"/>
      <c r="G7" s="16"/>
      <c r="H7" s="16"/>
      <c r="I7" s="16"/>
      <c r="J7" s="16"/>
    </row>
    <row r="9" spans="1:10">
      <c r="A9" s="16"/>
      <c r="B9" s="9" t="s">
        <v>18</v>
      </c>
      <c r="C9" s="9" t="s">
        <v>19</v>
      </c>
      <c r="D9" s="9" t="s">
        <v>20</v>
      </c>
      <c r="E9" s="9" t="s">
        <v>21</v>
      </c>
      <c r="F9" s="16"/>
      <c r="G9" s="16"/>
      <c r="H9" s="16"/>
      <c r="I9" s="16"/>
      <c r="J9" s="16"/>
    </row>
    <row r="10" spans="1:10" ht="28.9">
      <c r="A10" s="16"/>
      <c r="B10" s="18">
        <v>1</v>
      </c>
      <c r="C10" s="1" t="s">
        <v>79</v>
      </c>
      <c r="D10" s="2" t="s">
        <v>80</v>
      </c>
      <c r="E10" s="2" t="s">
        <v>81</v>
      </c>
      <c r="F10" s="16"/>
      <c r="G10" s="16"/>
      <c r="H10" s="16"/>
      <c r="I10" s="16"/>
      <c r="J10" s="16"/>
    </row>
    <row r="11" spans="1:10" ht="28.9">
      <c r="A11" s="16"/>
      <c r="B11" s="18">
        <f>B10+1</f>
        <v>2</v>
      </c>
      <c r="C11" s="1" t="s">
        <v>82</v>
      </c>
      <c r="D11" s="1" t="s">
        <v>83</v>
      </c>
      <c r="E11" s="2" t="s">
        <v>84</v>
      </c>
      <c r="F11" s="16"/>
      <c r="G11" s="16"/>
      <c r="H11" s="16"/>
      <c r="I11" s="16"/>
      <c r="J11" s="16"/>
    </row>
    <row r="12" spans="1:10" ht="28.9">
      <c r="A12" s="16"/>
      <c r="B12" s="18">
        <f t="shared" ref="B12:B30" si="0">B11+1</f>
        <v>3</v>
      </c>
      <c r="C12" s="1" t="s">
        <v>85</v>
      </c>
      <c r="D12" s="2" t="s">
        <v>86</v>
      </c>
      <c r="E12" s="2" t="s">
        <v>87</v>
      </c>
      <c r="F12" s="16"/>
      <c r="G12" s="16"/>
      <c r="H12" s="16"/>
      <c r="I12" s="16"/>
      <c r="J12" s="16"/>
    </row>
    <row r="13" spans="1:10" ht="28.9">
      <c r="A13" s="16"/>
      <c r="B13" s="18">
        <f t="shared" si="0"/>
        <v>4</v>
      </c>
      <c r="C13" s="1" t="s">
        <v>88</v>
      </c>
      <c r="D13" s="2" t="s">
        <v>89</v>
      </c>
      <c r="E13" s="2" t="s">
        <v>90</v>
      </c>
      <c r="F13" s="16"/>
      <c r="G13" s="16"/>
      <c r="H13" s="16"/>
      <c r="I13" s="16"/>
      <c r="J13" s="16"/>
    </row>
    <row r="14" spans="1:10" ht="28.9">
      <c r="A14" s="16"/>
      <c r="B14" s="18">
        <f t="shared" si="0"/>
        <v>5</v>
      </c>
      <c r="C14" s="1" t="s">
        <v>85</v>
      </c>
      <c r="D14" s="17" t="s">
        <v>91</v>
      </c>
      <c r="E14" s="2" t="s">
        <v>92</v>
      </c>
      <c r="F14" s="16"/>
      <c r="G14" s="16"/>
      <c r="H14" s="16"/>
      <c r="I14" s="16"/>
      <c r="J14" s="16"/>
    </row>
    <row r="15" spans="1:10" ht="28.9">
      <c r="A15" s="16"/>
      <c r="B15" s="18">
        <f t="shared" si="0"/>
        <v>6</v>
      </c>
      <c r="C15" s="1" t="s">
        <v>79</v>
      </c>
      <c r="D15" s="2" t="s">
        <v>93</v>
      </c>
      <c r="E15" s="2" t="s">
        <v>94</v>
      </c>
      <c r="F15" s="16"/>
      <c r="G15" s="16"/>
      <c r="H15" s="16"/>
      <c r="I15" s="16"/>
      <c r="J15" s="16"/>
    </row>
    <row r="16" spans="1:10" ht="43.15">
      <c r="A16" s="16"/>
      <c r="B16" s="18">
        <f t="shared" si="0"/>
        <v>7</v>
      </c>
      <c r="C16" s="1" t="s">
        <v>85</v>
      </c>
      <c r="D16" s="2" t="s">
        <v>95</v>
      </c>
      <c r="E16" s="2" t="s">
        <v>96</v>
      </c>
      <c r="F16" s="16"/>
      <c r="G16" s="16"/>
      <c r="H16" s="16"/>
      <c r="I16" s="16"/>
      <c r="J16" s="16"/>
    </row>
    <row r="17" spans="2:5" ht="28.9">
      <c r="B17" s="18">
        <f t="shared" si="0"/>
        <v>8</v>
      </c>
      <c r="C17" s="1" t="s">
        <v>85</v>
      </c>
      <c r="D17" s="2" t="s">
        <v>97</v>
      </c>
      <c r="E17" s="2" t="s">
        <v>98</v>
      </c>
    </row>
    <row r="18" spans="2:5" ht="28.9">
      <c r="B18" s="18">
        <f t="shared" si="0"/>
        <v>9</v>
      </c>
      <c r="C18" s="1" t="s">
        <v>79</v>
      </c>
      <c r="D18" s="2" t="s">
        <v>99</v>
      </c>
      <c r="E18" s="2" t="s">
        <v>100</v>
      </c>
    </row>
    <row r="19" spans="2:5" ht="43.15">
      <c r="B19" s="18">
        <f t="shared" si="0"/>
        <v>10</v>
      </c>
      <c r="C19" s="1" t="s">
        <v>88</v>
      </c>
      <c r="D19" s="2" t="s">
        <v>101</v>
      </c>
      <c r="E19" s="2" t="s">
        <v>102</v>
      </c>
    </row>
    <row r="20" spans="2:5" ht="43.15">
      <c r="B20" s="18">
        <f t="shared" si="0"/>
        <v>11</v>
      </c>
      <c r="C20" s="1" t="s">
        <v>88</v>
      </c>
      <c r="D20" s="2" t="s">
        <v>103</v>
      </c>
      <c r="E20" s="2" t="s">
        <v>104</v>
      </c>
    </row>
    <row r="21" spans="2:5" ht="43.15">
      <c r="B21" s="18">
        <f t="shared" si="0"/>
        <v>12</v>
      </c>
      <c r="C21" s="1" t="s">
        <v>85</v>
      </c>
      <c r="D21" s="1" t="s">
        <v>105</v>
      </c>
      <c r="E21" s="2" t="s">
        <v>106</v>
      </c>
    </row>
    <row r="22" spans="2:5" ht="57.6">
      <c r="B22" s="18">
        <f t="shared" si="0"/>
        <v>13</v>
      </c>
      <c r="C22" s="1" t="s">
        <v>79</v>
      </c>
      <c r="D22" s="2" t="s">
        <v>107</v>
      </c>
      <c r="E22" s="2" t="s">
        <v>108</v>
      </c>
    </row>
    <row r="23" spans="2:5" ht="28.9">
      <c r="B23" s="18">
        <f t="shared" si="0"/>
        <v>14</v>
      </c>
      <c r="C23" s="1" t="s">
        <v>79</v>
      </c>
      <c r="D23" s="2" t="s">
        <v>109</v>
      </c>
      <c r="E23" s="2" t="s">
        <v>110</v>
      </c>
    </row>
    <row r="24" spans="2:5" ht="28.9">
      <c r="B24" s="18">
        <f t="shared" si="0"/>
        <v>15</v>
      </c>
      <c r="C24" s="1" t="s">
        <v>85</v>
      </c>
      <c r="D24" s="2" t="s">
        <v>111</v>
      </c>
      <c r="E24" s="2" t="s">
        <v>112</v>
      </c>
    </row>
    <row r="25" spans="2:5" ht="28.9">
      <c r="B25" s="18">
        <f t="shared" si="0"/>
        <v>16</v>
      </c>
      <c r="C25" s="1" t="s">
        <v>113</v>
      </c>
      <c r="D25" s="2" t="s">
        <v>114</v>
      </c>
      <c r="E25" s="2" t="s">
        <v>115</v>
      </c>
    </row>
    <row r="26" spans="2:5">
      <c r="B26" s="18">
        <f t="shared" si="0"/>
        <v>17</v>
      </c>
      <c r="C26" s="1" t="s">
        <v>82</v>
      </c>
      <c r="D26" s="2" t="s">
        <v>116</v>
      </c>
      <c r="E26" s="2" t="s">
        <v>117</v>
      </c>
    </row>
    <row r="27" spans="2:5">
      <c r="B27" s="18">
        <f t="shared" si="0"/>
        <v>18</v>
      </c>
      <c r="C27" s="1"/>
      <c r="D27" s="2"/>
      <c r="E27" s="1"/>
    </row>
    <row r="28" spans="2:5">
      <c r="B28" s="18">
        <f t="shared" si="0"/>
        <v>19</v>
      </c>
      <c r="C28" s="1"/>
      <c r="D28" s="2"/>
      <c r="E28" s="2"/>
    </row>
    <row r="29" spans="2:5">
      <c r="B29" s="18">
        <f t="shared" si="0"/>
        <v>20</v>
      </c>
      <c r="C29" s="1"/>
      <c r="D29" s="2"/>
      <c r="E29" s="2"/>
    </row>
    <row r="30" spans="2:5">
      <c r="B30" s="18">
        <f t="shared" si="0"/>
        <v>21</v>
      </c>
      <c r="C30" s="1"/>
      <c r="D30" s="2"/>
      <c r="E30" s="2"/>
    </row>
    <row r="32" spans="2:5">
      <c r="B32" s="16"/>
      <c r="C32" s="10" t="s">
        <v>46</v>
      </c>
      <c r="D32" s="11"/>
      <c r="E32" s="1">
        <v>0.75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abSelected="1" topLeftCell="A15" workbookViewId="0">
      <selection activeCell="G30" sqref="B17:G30"/>
    </sheetView>
  </sheetViews>
  <sheetFormatPr defaultColWidth="8.85546875" defaultRowHeight="14.45"/>
  <cols>
    <col min="1" max="1" width="8.85546875" style="5"/>
    <col min="2" max="2" width="12.28515625" style="5" customWidth="1"/>
    <col min="3" max="3" width="24.5703125" style="5" customWidth="1"/>
    <col min="4" max="4" width="22.7109375" style="5" customWidth="1"/>
    <col min="5" max="5" width="23.85546875" style="5" customWidth="1"/>
    <col min="6" max="6" width="38.140625" style="5" customWidth="1"/>
    <col min="7" max="8" width="8.85546875" style="5"/>
    <col min="9" max="9" width="26.7109375" style="5" customWidth="1"/>
    <col min="10" max="16384" width="8.85546875" style="5"/>
  </cols>
  <sheetData>
    <row r="1" spans="1:10" ht="15.6">
      <c r="A1" s="3"/>
      <c r="B1" s="4" t="s">
        <v>0</v>
      </c>
      <c r="C1" s="16"/>
      <c r="D1" s="16"/>
      <c r="E1" s="16"/>
      <c r="F1" s="16"/>
      <c r="G1" s="16"/>
      <c r="H1" s="24" t="s">
        <v>1</v>
      </c>
      <c r="I1" s="24"/>
      <c r="J1" s="24"/>
    </row>
    <row r="2" spans="1:10">
      <c r="A2" s="16"/>
      <c r="B2" s="25" t="s">
        <v>118</v>
      </c>
      <c r="C2" s="25"/>
      <c r="D2" s="25"/>
      <c r="E2" s="25"/>
      <c r="F2" s="16"/>
      <c r="G2" s="16"/>
      <c r="H2" s="18"/>
      <c r="I2" s="18" t="s">
        <v>3</v>
      </c>
      <c r="J2" s="18" t="s">
        <v>4</v>
      </c>
    </row>
    <row r="3" spans="1:10">
      <c r="A3" s="16"/>
      <c r="B3" s="16"/>
      <c r="C3" s="16"/>
      <c r="D3" s="16"/>
      <c r="E3" s="16"/>
      <c r="F3" s="16"/>
      <c r="G3" s="16"/>
      <c r="H3" s="18" t="s">
        <v>5</v>
      </c>
      <c r="I3" s="18" t="s">
        <v>48</v>
      </c>
      <c r="J3" s="18">
        <v>234</v>
      </c>
    </row>
    <row r="4" spans="1:10">
      <c r="A4" s="16"/>
      <c r="B4" s="16"/>
      <c r="C4" s="14" t="s">
        <v>119</v>
      </c>
      <c r="D4" s="33"/>
      <c r="E4" s="33"/>
      <c r="F4" s="16"/>
      <c r="G4" s="16"/>
      <c r="H4" s="18" t="s">
        <v>9</v>
      </c>
      <c r="I4" s="18" t="s">
        <v>10</v>
      </c>
      <c r="J4" s="18">
        <v>234</v>
      </c>
    </row>
    <row r="5" spans="1:10">
      <c r="A5" s="16"/>
      <c r="B5" s="16"/>
      <c r="C5" s="8" t="s">
        <v>15</v>
      </c>
      <c r="D5" s="23" t="s">
        <v>14</v>
      </c>
      <c r="E5" s="23"/>
      <c r="F5" s="16"/>
      <c r="G5" s="16"/>
      <c r="H5" s="18" t="s">
        <v>13</v>
      </c>
      <c r="I5" s="18" t="s">
        <v>14</v>
      </c>
      <c r="J5" s="18">
        <v>234</v>
      </c>
    </row>
    <row r="6" spans="1:10">
      <c r="A6" s="16"/>
      <c r="B6" s="7"/>
      <c r="C6" s="8" t="s">
        <v>16</v>
      </c>
      <c r="D6" s="23" t="s">
        <v>120</v>
      </c>
      <c r="E6" s="23"/>
      <c r="F6" s="16"/>
      <c r="G6" s="16"/>
      <c r="H6" s="16"/>
      <c r="I6" s="16"/>
      <c r="J6" s="16"/>
    </row>
    <row r="9" spans="1:10">
      <c r="A9" s="16"/>
      <c r="B9" s="9" t="s">
        <v>18</v>
      </c>
      <c r="C9" s="9" t="s">
        <v>121</v>
      </c>
      <c r="D9" s="9" t="s">
        <v>122</v>
      </c>
      <c r="E9" s="9" t="s">
        <v>123</v>
      </c>
      <c r="F9" s="9" t="s">
        <v>124</v>
      </c>
      <c r="G9" s="16"/>
      <c r="H9" s="16"/>
      <c r="I9" s="16"/>
      <c r="J9" s="16"/>
    </row>
    <row r="10" spans="1:10" ht="45.75">
      <c r="A10" s="16"/>
      <c r="B10" s="18">
        <v>1</v>
      </c>
      <c r="C10" s="2" t="s">
        <v>125</v>
      </c>
      <c r="D10" s="2" t="s">
        <v>126</v>
      </c>
      <c r="E10" s="2" t="s">
        <v>127</v>
      </c>
      <c r="F10" s="2" t="s">
        <v>128</v>
      </c>
      <c r="G10" s="16"/>
      <c r="H10" s="16"/>
      <c r="I10" s="16"/>
      <c r="J10" s="16"/>
    </row>
    <row r="11" spans="1:10" ht="198">
      <c r="A11" s="16"/>
      <c r="B11" s="18">
        <f>B10+1</f>
        <v>2</v>
      </c>
      <c r="C11" s="2" t="s">
        <v>129</v>
      </c>
      <c r="D11" s="2" t="s">
        <v>130</v>
      </c>
      <c r="E11" s="2" t="s">
        <v>131</v>
      </c>
      <c r="F11" s="2" t="s">
        <v>132</v>
      </c>
      <c r="G11" s="16"/>
      <c r="H11" s="16"/>
      <c r="I11" s="16"/>
      <c r="J11" s="16"/>
    </row>
    <row r="12" spans="1:10" ht="106.5">
      <c r="A12" s="16"/>
      <c r="B12" s="18">
        <f t="shared" ref="B12:B16" si="0">B11+1</f>
        <v>3</v>
      </c>
      <c r="C12" s="2" t="s">
        <v>133</v>
      </c>
      <c r="D12" s="2" t="s">
        <v>134</v>
      </c>
      <c r="E12" s="2" t="s">
        <v>135</v>
      </c>
      <c r="F12" s="2" t="s">
        <v>136</v>
      </c>
      <c r="G12" s="16"/>
      <c r="H12" s="16"/>
      <c r="I12" s="16"/>
      <c r="J12" s="16"/>
    </row>
    <row r="13" spans="1:10" ht="121.5">
      <c r="A13" s="16"/>
      <c r="B13" s="18">
        <f t="shared" si="0"/>
        <v>4</v>
      </c>
      <c r="C13" s="2" t="s">
        <v>137</v>
      </c>
      <c r="D13" s="2" t="s">
        <v>138</v>
      </c>
      <c r="E13" s="2" t="s">
        <v>139</v>
      </c>
      <c r="F13" s="2" t="s">
        <v>140</v>
      </c>
      <c r="G13" s="16"/>
      <c r="H13" s="16"/>
      <c r="I13" s="16"/>
      <c r="J13" s="16"/>
    </row>
    <row r="14" spans="1:10" ht="121.5">
      <c r="A14" s="16"/>
      <c r="B14" s="18">
        <f t="shared" si="0"/>
        <v>5</v>
      </c>
      <c r="C14" s="2" t="s">
        <v>141</v>
      </c>
      <c r="D14" s="2" t="s">
        <v>142</v>
      </c>
      <c r="E14" s="2" t="s">
        <v>143</v>
      </c>
      <c r="F14" s="2" t="s">
        <v>144</v>
      </c>
      <c r="G14" s="16"/>
      <c r="H14" s="16"/>
      <c r="I14" s="16"/>
      <c r="J14" s="16"/>
    </row>
    <row r="15" spans="1:10" ht="183">
      <c r="A15" s="16"/>
      <c r="B15" s="18">
        <f t="shared" si="0"/>
        <v>6</v>
      </c>
      <c r="C15" s="1" t="s">
        <v>145</v>
      </c>
      <c r="D15" s="2" t="s">
        <v>146</v>
      </c>
      <c r="E15" s="2" t="s">
        <v>147</v>
      </c>
      <c r="F15" s="2" t="s">
        <v>148</v>
      </c>
      <c r="G15" s="16"/>
      <c r="H15" s="16"/>
      <c r="I15" s="16"/>
      <c r="J15" s="16"/>
    </row>
    <row r="16" spans="1:10" ht="45.75">
      <c r="A16" s="16"/>
      <c r="B16" s="18">
        <f t="shared" si="0"/>
        <v>7</v>
      </c>
      <c r="C16" s="2" t="s">
        <v>149</v>
      </c>
      <c r="D16" s="2" t="s">
        <v>150</v>
      </c>
      <c r="E16" s="2"/>
      <c r="F16" s="2" t="s">
        <v>151</v>
      </c>
      <c r="G16" s="16"/>
      <c r="H16" s="16"/>
      <c r="I16" s="16"/>
      <c r="J16" s="16"/>
    </row>
    <row r="18" spans="1:10">
      <c r="A18" s="16"/>
      <c r="B18" s="16"/>
      <c r="C18" s="36" t="s">
        <v>152</v>
      </c>
      <c r="D18" s="37"/>
      <c r="E18" s="37"/>
      <c r="F18" s="15"/>
      <c r="G18" s="16"/>
      <c r="H18" s="16"/>
      <c r="I18" s="16"/>
      <c r="J18" s="16"/>
    </row>
    <row r="19" spans="1:10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spans="1:10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spans="1:10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 spans="1:10" ht="15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 spans="1:10" ht="15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 spans="1:10" ht="15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15">
      <c r="A25" s="16"/>
      <c r="B25" s="16"/>
      <c r="C25" s="16"/>
      <c r="D25" s="16"/>
      <c r="E25" s="16"/>
      <c r="F25" s="16"/>
      <c r="G25" s="16"/>
      <c r="H25" s="16"/>
      <c r="I25" s="16"/>
      <c r="J25" s="16"/>
    </row>
    <row r="26" spans="1:10" ht="15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 spans="1:10" ht="15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 spans="1:10" ht="15">
      <c r="A28" s="16"/>
      <c r="B28" s="16"/>
      <c r="C28" s="16"/>
      <c r="D28" s="16"/>
      <c r="E28" s="16"/>
      <c r="F28" s="16"/>
      <c r="G28" s="16"/>
      <c r="H28" s="16"/>
      <c r="I28" s="16"/>
      <c r="J28" s="16"/>
    </row>
    <row r="29" spans="1:10" ht="15">
      <c r="A29" s="16"/>
      <c r="B29" s="16"/>
      <c r="C29" s="16"/>
      <c r="D29" s="16"/>
      <c r="E29" s="16"/>
      <c r="F29" s="16"/>
      <c r="G29" s="16"/>
      <c r="H29" s="16"/>
      <c r="I29" s="16"/>
      <c r="J29" s="16"/>
    </row>
    <row r="30" spans="1:10" ht="15">
      <c r="A30" s="16"/>
      <c r="B30" s="16"/>
      <c r="C30" s="16"/>
      <c r="D30" s="16"/>
      <c r="E30" s="16"/>
      <c r="F30" s="16"/>
      <c r="G30" s="16"/>
      <c r="H30" s="16"/>
      <c r="I30" s="16"/>
      <c r="J30" s="16"/>
    </row>
    <row r="31" spans="1:10" ht="15">
      <c r="A31" s="16"/>
      <c r="B31" s="16"/>
      <c r="C31" s="16"/>
      <c r="D31" s="16"/>
      <c r="E31" s="16"/>
      <c r="F31" s="16"/>
      <c r="G31" s="16"/>
      <c r="H31" s="16"/>
      <c r="I31" s="16"/>
      <c r="J31" s="16"/>
    </row>
    <row r="32" spans="1:10" ht="15">
      <c r="A32" s="16"/>
      <c r="B32" s="16"/>
      <c r="C32" s="16"/>
      <c r="D32" s="16"/>
      <c r="E32" s="16"/>
      <c r="F32" s="16"/>
      <c r="G32" s="16"/>
      <c r="H32" s="16"/>
      <c r="I32" s="16"/>
      <c r="J32" s="16"/>
    </row>
    <row r="35" spans="1:10" ht="15">
      <c r="A35" s="16"/>
      <c r="B35" s="16"/>
      <c r="C35" s="16"/>
      <c r="D35" s="16"/>
      <c r="E35" s="16"/>
      <c r="F35" s="16"/>
      <c r="G35" s="16"/>
      <c r="H35" s="16"/>
      <c r="I35" s="16"/>
      <c r="J35" s="16"/>
    </row>
  </sheetData>
  <mergeCells count="6">
    <mergeCell ref="C18:E18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DCAE733D3F841B4052C53207B64B5" ma:contentTypeVersion="13" ma:contentTypeDescription="Create a new document." ma:contentTypeScope="" ma:versionID="bb2a1980df9c1c8922d10c7310397b72">
  <xsd:schema xmlns:xsd="http://www.w3.org/2001/XMLSchema" xmlns:xs="http://www.w3.org/2001/XMLSchema" xmlns:p="http://schemas.microsoft.com/office/2006/metadata/properties" xmlns:ns3="3c621349-07bb-4f69-bb8c-ca817af798a6" xmlns:ns4="cb3df994-17ae-497d-bc9c-e030f194ba7e" targetNamespace="http://schemas.microsoft.com/office/2006/metadata/properties" ma:root="true" ma:fieldsID="bd6ac01032071bf26dbf7ea9847259cd" ns3:_="" ns4:_="">
    <xsd:import namespace="3c621349-07bb-4f69-bb8c-ca817af798a6"/>
    <xsd:import namespace="cb3df994-17ae-497d-bc9c-e030f194ba7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621349-07bb-4f69-bb8c-ca817af798a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df994-17ae-497d-bc9c-e030f194ba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621349-07bb-4f69-bb8c-ca817af798a6" xsi:nil="true"/>
  </documentManagement>
</p:properties>
</file>

<file path=customXml/itemProps1.xml><?xml version="1.0" encoding="utf-8"?>
<ds:datastoreItem xmlns:ds="http://schemas.openxmlformats.org/officeDocument/2006/customXml" ds:itemID="{CF4B9367-1DAB-4828-AE1B-0E811D6F4E92}"/>
</file>

<file path=customXml/itemProps2.xml><?xml version="1.0" encoding="utf-8"?>
<ds:datastoreItem xmlns:ds="http://schemas.openxmlformats.org/officeDocument/2006/customXml" ds:itemID="{915C9D80-886A-43BB-BC35-6F1F7EFE068A}"/>
</file>

<file path=customXml/itemProps3.xml><?xml version="1.0" encoding="utf-8"?>
<ds:datastoreItem xmlns:ds="http://schemas.openxmlformats.org/officeDocument/2006/customXml" ds:itemID="{0062B43E-C147-41DD-B765-8153506234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Andreea</dc:creator>
  <cp:keywords/>
  <dc:description/>
  <cp:lastModifiedBy/>
  <cp:revision/>
  <dcterms:created xsi:type="dcterms:W3CDTF">2015-02-21T15:59:19Z</dcterms:created>
  <dcterms:modified xsi:type="dcterms:W3CDTF">2026-03-17T10:42:31Z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0x010100D80DCAE733D3F841B4052C53207B64B5</vt:lpwstr>
  </property>
</Properties>
</file>